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5600" windowHeight="7530" activeTab="1"/>
  </bookViews>
  <sheets>
    <sheet name="Asian" sheetId="7" r:id="rId1"/>
    <sheet name="plots Asian" sheetId="10" r:id="rId2"/>
  </sheets>
  <calcPr calcId="125725"/>
</workbook>
</file>

<file path=xl/calcChain.xml><?xml version="1.0" encoding="utf-8"?>
<calcChain xmlns="http://schemas.openxmlformats.org/spreadsheetml/2006/main">
  <c r="B16" i="10"/>
  <c r="F6" i="7"/>
  <c r="F7"/>
  <c r="F8"/>
  <c r="F9"/>
  <c r="F10"/>
  <c r="F11"/>
  <c r="F12"/>
  <c r="F13"/>
  <c r="F14"/>
  <c r="F5" l="1"/>
  <c r="E9"/>
  <c r="E14"/>
  <c r="E11"/>
  <c r="E8"/>
  <c r="E5"/>
  <c r="E12"/>
  <c r="E6"/>
  <c r="E7"/>
  <c r="E10"/>
  <c r="E13"/>
  <c r="F15" l="1"/>
  <c r="F16"/>
  <c r="E15"/>
  <c r="E16"/>
  <c r="B16"/>
</calcChain>
</file>

<file path=xl/sharedStrings.xml><?xml version="1.0" encoding="utf-8"?>
<sst xmlns="http://schemas.openxmlformats.org/spreadsheetml/2006/main" count="33" uniqueCount="21">
  <si>
    <t>option</t>
  </si>
  <si>
    <t>Asian MC value fn</t>
  </si>
  <si>
    <t>number of days</t>
  </si>
  <si>
    <t>Asian MC value C++</t>
  </si>
  <si>
    <t>mean</t>
  </si>
  <si>
    <t>stdev</t>
  </si>
  <si>
    <t>Geometric?</t>
  </si>
  <si>
    <t>Using Monte Carlo Simulation in Arithmetic/Geometric Asian Option Pricing</t>
  </si>
  <si>
    <t>Interest rate</t>
  </si>
  <si>
    <t>Exercise price</t>
  </si>
  <si>
    <t>Share price</t>
  </si>
  <si>
    <t>Dividend yield</t>
  </si>
  <si>
    <t>Time maturity</t>
  </si>
  <si>
    <t>Volatility</t>
  </si>
  <si>
    <t>number of simulations for VBA function</t>
  </si>
  <si>
    <t>number of simulations for C++ function</t>
  </si>
  <si>
    <t>callOrPut?</t>
  </si>
  <si>
    <t>strike</t>
  </si>
  <si>
    <t>spot</t>
  </si>
  <si>
    <t>time to maturity</t>
  </si>
  <si>
    <t>Using Monte Carlo Simulation to Value Asian Options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</si>
</sst>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General_)"/>
    <numFmt numFmtId="166" formatCode="0.000"/>
  </numFmts>
  <fonts count="6">
    <font>
      <sz val="11"/>
      <color theme="1"/>
      <name val="Czcionka tekstu podstawowego"/>
      <family val="2"/>
      <charset val="238"/>
    </font>
    <font>
      <sz val="10"/>
      <name val="Times New Roman"/>
      <family val="1"/>
      <charset val="238"/>
    </font>
    <font>
      <sz val="10"/>
      <name val="Times New Roman"/>
      <family val="1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2" fillId="0" borderId="0"/>
  </cellStyleXfs>
  <cellXfs count="25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applyFont="1"/>
    <xf numFmtId="0" fontId="4" fillId="0" borderId="0" xfId="0" quotePrefix="1" applyFont="1" applyAlignment="1">
      <alignment horizontal="left"/>
    </xf>
    <xf numFmtId="2" fontId="3" fillId="0" borderId="0" xfId="0" applyNumberFormat="1" applyFont="1"/>
    <xf numFmtId="0" fontId="4" fillId="0" borderId="0" xfId="0" applyFont="1" applyAlignment="1">
      <alignment horizontal="right"/>
    </xf>
    <xf numFmtId="10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0" fontId="5" fillId="0" borderId="0" xfId="0" applyFont="1"/>
    <xf numFmtId="0" fontId="3" fillId="2" borderId="2" xfId="0" quotePrefix="1" applyFont="1" applyFill="1" applyBorder="1" applyAlignment="1">
      <alignment horizontal="left"/>
    </xf>
    <xf numFmtId="0" fontId="4" fillId="2" borderId="3" xfId="0" applyFont="1" applyFill="1" applyBorder="1"/>
    <xf numFmtId="0" fontId="4" fillId="2" borderId="4" xfId="0" applyFont="1" applyFill="1" applyBorder="1"/>
    <xf numFmtId="0" fontId="5" fillId="2" borderId="1" xfId="0" applyFont="1" applyFill="1" applyBorder="1"/>
    <xf numFmtId="2" fontId="5" fillId="2" borderId="1" xfId="0" applyNumberFormat="1" applyFont="1" applyFill="1" applyBorder="1"/>
    <xf numFmtId="2" fontId="3" fillId="4" borderId="1" xfId="0" applyNumberFormat="1" applyFont="1" applyFill="1" applyBorder="1"/>
    <xf numFmtId="2" fontId="3" fillId="5" borderId="1" xfId="0" quotePrefix="1" applyNumberFormat="1" applyFont="1" applyFill="1" applyBorder="1" applyAlignment="1">
      <alignment horizontal="left"/>
    </xf>
    <xf numFmtId="0" fontId="4" fillId="3" borderId="1" xfId="0" applyFont="1" applyFill="1" applyBorder="1"/>
    <xf numFmtId="0" fontId="4" fillId="0" borderId="0" xfId="0" applyFont="1" applyAlignment="1">
      <alignment horizontal="left"/>
    </xf>
    <xf numFmtId="0" fontId="3" fillId="0" borderId="0" xfId="0" applyNumberFormat="1" applyFont="1"/>
    <xf numFmtId="0" fontId="3" fillId="2" borderId="4" xfId="0" quotePrefix="1" applyFont="1" applyFill="1" applyBorder="1" applyAlignment="1">
      <alignment horizontal="left"/>
    </xf>
    <xf numFmtId="0" fontId="4" fillId="6" borderId="0" xfId="0" applyFont="1" applyFill="1"/>
    <xf numFmtId="166" fontId="4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centerContinuous"/>
    </xf>
  </cellXfs>
  <cellStyles count="3">
    <cellStyle name="Normal_Call" xfId="2"/>
    <cellStyle name="Normalny" xfId="0" builtinId="0"/>
    <cellStyle name="Normalny 2" xfId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Asian'!$F$5</c:f>
              <c:strCache>
                <c:ptCount val="1"/>
                <c:pt idx="0">
                  <c:v>95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Asian'!$G$5:$Q$5</c:f>
              <c:numCache>
                <c:formatCode>0.000</c:formatCode>
                <c:ptCount val="11"/>
              </c:numCache>
            </c:numRef>
          </c:val>
        </c:ser>
        <c:ser>
          <c:idx val="1"/>
          <c:order val="1"/>
          <c:tx>
            <c:strRef>
              <c:f>'plots Asian'!$F$6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Asian'!$G$6:$Q$6</c:f>
              <c:numCache>
                <c:formatCode>0.000</c:formatCode>
                <c:ptCount val="11"/>
              </c:numCache>
            </c:numRef>
          </c:val>
        </c:ser>
        <c:ser>
          <c:idx val="2"/>
          <c:order val="2"/>
          <c:tx>
            <c:strRef>
              <c:f>'plots Asian'!$F$7</c:f>
              <c:strCache>
                <c:ptCount val="1"/>
                <c:pt idx="0">
                  <c:v>97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Asian'!$G$7:$Q$7</c:f>
              <c:numCache>
                <c:formatCode>0.000</c:formatCode>
                <c:ptCount val="11"/>
              </c:numCache>
            </c:numRef>
          </c:val>
        </c:ser>
        <c:ser>
          <c:idx val="3"/>
          <c:order val="3"/>
          <c:tx>
            <c:strRef>
              <c:f>'plots Asian'!$F$8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Asian'!$G$8:$Q$8</c:f>
              <c:numCache>
                <c:formatCode>0.000</c:formatCode>
                <c:ptCount val="11"/>
              </c:numCache>
            </c:numRef>
          </c:val>
        </c:ser>
        <c:ser>
          <c:idx val="4"/>
          <c:order val="4"/>
          <c:tx>
            <c:strRef>
              <c:f>'plots Asian'!$F$9</c:f>
              <c:strCache>
                <c:ptCount val="1"/>
                <c:pt idx="0">
                  <c:v>99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Asian'!$G$9:$Q$9</c:f>
              <c:numCache>
                <c:formatCode>0.000</c:formatCode>
                <c:ptCount val="11"/>
              </c:numCache>
            </c:numRef>
          </c:val>
        </c:ser>
        <c:ser>
          <c:idx val="5"/>
          <c:order val="5"/>
          <c:tx>
            <c:strRef>
              <c:f>'plots Asian'!$F$10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Asian'!$G$10:$Q$10</c:f>
              <c:numCache>
                <c:formatCode>0.000</c:formatCode>
                <c:ptCount val="11"/>
              </c:numCache>
            </c:numRef>
          </c:val>
        </c:ser>
        <c:ser>
          <c:idx val="6"/>
          <c:order val="6"/>
          <c:tx>
            <c:strRef>
              <c:f>'plots Asian'!$F$11</c:f>
              <c:strCache>
                <c:ptCount val="1"/>
                <c:pt idx="0">
                  <c:v>101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Asian'!$G$11:$Q$11</c:f>
              <c:numCache>
                <c:formatCode>0.000</c:formatCode>
                <c:ptCount val="11"/>
              </c:numCache>
            </c:numRef>
          </c:val>
        </c:ser>
        <c:ser>
          <c:idx val="7"/>
          <c:order val="7"/>
          <c:tx>
            <c:strRef>
              <c:f>'plots Asian'!$F$12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Asian'!$G$12:$Q$12</c:f>
              <c:numCache>
                <c:formatCode>0.000</c:formatCode>
                <c:ptCount val="11"/>
              </c:numCache>
            </c:numRef>
          </c:val>
        </c:ser>
        <c:ser>
          <c:idx val="8"/>
          <c:order val="8"/>
          <c:tx>
            <c:strRef>
              <c:f>'plots Asian'!$F$13</c:f>
              <c:strCache>
                <c:ptCount val="1"/>
                <c:pt idx="0">
                  <c:v>103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Asian'!$G$13:$Q$13</c:f>
              <c:numCache>
                <c:formatCode>0.000</c:formatCode>
                <c:ptCount val="11"/>
              </c:numCache>
            </c:numRef>
          </c:val>
        </c:ser>
        <c:ser>
          <c:idx val="9"/>
          <c:order val="9"/>
          <c:tx>
            <c:strRef>
              <c:f>'plots Asian'!$F$14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Asian'!$G$14:$Q$14</c:f>
              <c:numCache>
                <c:formatCode>0.000</c:formatCode>
                <c:ptCount val="11"/>
              </c:numCache>
            </c:numRef>
          </c:val>
        </c:ser>
        <c:ser>
          <c:idx val="10"/>
          <c:order val="10"/>
          <c:tx>
            <c:strRef>
              <c:f>'plots Asian'!$F$15</c:f>
              <c:strCache>
                <c:ptCount val="1"/>
                <c:pt idx="0">
                  <c:v>105</c:v>
                </c:pt>
              </c:strCache>
            </c:strRef>
          </c:tx>
          <c:cat>
            <c:numRef>
              <c:f>'plots Asian'!$G$4:$Q$4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Asian'!$G$15:$Q$15</c:f>
              <c:numCache>
                <c:formatCode>0.000</c:formatCode>
                <c:ptCount val="11"/>
              </c:numCache>
            </c:numRef>
          </c:val>
        </c:ser>
        <c:bandFmts/>
        <c:axId val="302761856"/>
        <c:axId val="302763392"/>
        <c:axId val="302753536"/>
      </c:surface3DChart>
      <c:catAx>
        <c:axId val="302761856"/>
        <c:scaling>
          <c:orientation val="minMax"/>
        </c:scaling>
        <c:axPos val="b"/>
        <c:numFmt formatCode="General" sourceLinked="1"/>
        <c:tickLblPos val="nextTo"/>
        <c:crossAx val="302763392"/>
        <c:crosses val="autoZero"/>
        <c:auto val="1"/>
        <c:lblAlgn val="ctr"/>
        <c:lblOffset val="100"/>
      </c:catAx>
      <c:valAx>
        <c:axId val="302763392"/>
        <c:scaling>
          <c:orientation val="minMax"/>
        </c:scaling>
        <c:axPos val="r"/>
        <c:majorGridlines/>
        <c:numFmt formatCode="0.000" sourceLinked="1"/>
        <c:tickLblPos val="nextTo"/>
        <c:crossAx val="302761856"/>
        <c:crosses val="autoZero"/>
        <c:crossBetween val="midCat"/>
      </c:valAx>
      <c:serAx>
        <c:axId val="302753536"/>
        <c:scaling>
          <c:orientation val="minMax"/>
        </c:scaling>
        <c:axPos val="b"/>
        <c:tickLblPos val="nextTo"/>
        <c:crossAx val="302763392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Asian'!$F$20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Asian'!$G$20:$Q$20</c:f>
              <c:numCache>
                <c:formatCode>General</c:formatCode>
                <c:ptCount val="11"/>
              </c:numCache>
            </c:numRef>
          </c:val>
        </c:ser>
        <c:ser>
          <c:idx val="1"/>
          <c:order val="1"/>
          <c:tx>
            <c:strRef>
              <c:f>'plots Asian'!$F$21</c:f>
              <c:strCache>
                <c:ptCount val="1"/>
                <c:pt idx="0">
                  <c:v>92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Asian'!$G$21:$Q$21</c:f>
              <c:numCache>
                <c:formatCode>General</c:formatCode>
                <c:ptCount val="11"/>
              </c:numCache>
            </c:numRef>
          </c:val>
        </c:ser>
        <c:ser>
          <c:idx val="2"/>
          <c:order val="2"/>
          <c:tx>
            <c:strRef>
              <c:f>'plots Asian'!$F$22</c:f>
              <c:strCache>
                <c:ptCount val="1"/>
                <c:pt idx="0">
                  <c:v>94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Asian'!$G$22:$Q$22</c:f>
              <c:numCache>
                <c:formatCode>General</c:formatCode>
                <c:ptCount val="11"/>
              </c:numCache>
            </c:numRef>
          </c:val>
        </c:ser>
        <c:ser>
          <c:idx val="3"/>
          <c:order val="3"/>
          <c:tx>
            <c:strRef>
              <c:f>'plots Asian'!$F$23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Asian'!$G$23:$Q$23</c:f>
              <c:numCache>
                <c:formatCode>General</c:formatCode>
                <c:ptCount val="11"/>
              </c:numCache>
            </c:numRef>
          </c:val>
        </c:ser>
        <c:ser>
          <c:idx val="4"/>
          <c:order val="4"/>
          <c:tx>
            <c:strRef>
              <c:f>'plots Asian'!$F$24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Asian'!$G$24:$Q$24</c:f>
              <c:numCache>
                <c:formatCode>General</c:formatCode>
                <c:ptCount val="11"/>
              </c:numCache>
            </c:numRef>
          </c:val>
        </c:ser>
        <c:ser>
          <c:idx val="5"/>
          <c:order val="5"/>
          <c:tx>
            <c:strRef>
              <c:f>'plots Asian'!$F$25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Asian'!$G$25:$Q$25</c:f>
              <c:numCache>
                <c:formatCode>General</c:formatCode>
                <c:ptCount val="11"/>
              </c:numCache>
            </c:numRef>
          </c:val>
        </c:ser>
        <c:ser>
          <c:idx val="6"/>
          <c:order val="6"/>
          <c:tx>
            <c:strRef>
              <c:f>'plots Asian'!$F$26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Asian'!$G$26:$Q$26</c:f>
              <c:numCache>
                <c:formatCode>General</c:formatCode>
                <c:ptCount val="11"/>
              </c:numCache>
            </c:numRef>
          </c:val>
        </c:ser>
        <c:ser>
          <c:idx val="7"/>
          <c:order val="7"/>
          <c:tx>
            <c:strRef>
              <c:f>'plots Asian'!$F$27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Asian'!$G$27:$Q$27</c:f>
              <c:numCache>
                <c:formatCode>General</c:formatCode>
                <c:ptCount val="11"/>
              </c:numCache>
            </c:numRef>
          </c:val>
        </c:ser>
        <c:ser>
          <c:idx val="8"/>
          <c:order val="8"/>
          <c:tx>
            <c:strRef>
              <c:f>'plots Asian'!$F$28</c:f>
              <c:strCache>
                <c:ptCount val="1"/>
                <c:pt idx="0">
                  <c:v>106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Asian'!$G$28:$Q$28</c:f>
              <c:numCache>
                <c:formatCode>General</c:formatCode>
                <c:ptCount val="11"/>
              </c:numCache>
            </c:numRef>
          </c:val>
        </c:ser>
        <c:ser>
          <c:idx val="9"/>
          <c:order val="9"/>
          <c:tx>
            <c:strRef>
              <c:f>'plots Asian'!$F$29</c:f>
              <c:strCache>
                <c:ptCount val="1"/>
                <c:pt idx="0">
                  <c:v>108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Asian'!$G$29:$Q$29</c:f>
              <c:numCache>
                <c:formatCode>General</c:formatCode>
                <c:ptCount val="11"/>
              </c:numCache>
            </c:numRef>
          </c:val>
        </c:ser>
        <c:ser>
          <c:idx val="10"/>
          <c:order val="10"/>
          <c:tx>
            <c:strRef>
              <c:f>'plots Asian'!$F$30</c:f>
              <c:strCache>
                <c:ptCount val="1"/>
                <c:pt idx="0">
                  <c:v>110</c:v>
                </c:pt>
              </c:strCache>
            </c:strRef>
          </c:tx>
          <c:cat>
            <c:numRef>
              <c:f>'plots Asian'!$G$19:$Q$19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Asian'!$G$30:$Q$30</c:f>
              <c:numCache>
                <c:formatCode>General</c:formatCode>
                <c:ptCount val="11"/>
              </c:numCache>
            </c:numRef>
          </c:val>
        </c:ser>
        <c:bandFmts/>
        <c:axId val="313991552"/>
        <c:axId val="313993088"/>
        <c:axId val="313968384"/>
      </c:surface3DChart>
      <c:catAx>
        <c:axId val="313991552"/>
        <c:scaling>
          <c:orientation val="minMax"/>
        </c:scaling>
        <c:axPos val="b"/>
        <c:numFmt formatCode="General" sourceLinked="1"/>
        <c:tickLblPos val="nextTo"/>
        <c:crossAx val="313993088"/>
        <c:crosses val="autoZero"/>
        <c:auto val="1"/>
        <c:lblAlgn val="ctr"/>
        <c:lblOffset val="100"/>
      </c:catAx>
      <c:valAx>
        <c:axId val="313993088"/>
        <c:scaling>
          <c:orientation val="minMax"/>
        </c:scaling>
        <c:axPos val="r"/>
        <c:majorGridlines/>
        <c:numFmt formatCode="General" sourceLinked="1"/>
        <c:tickLblPos val="nextTo"/>
        <c:crossAx val="313991552"/>
        <c:crosses val="autoZero"/>
        <c:crossBetween val="midCat"/>
      </c:valAx>
      <c:serAx>
        <c:axId val="313968384"/>
        <c:scaling>
          <c:orientation val="minMax"/>
        </c:scaling>
        <c:axPos val="b"/>
        <c:tickLblPos val="nextTo"/>
        <c:crossAx val="313993088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657224</xdr:colOff>
      <xdr:row>2</xdr:row>
      <xdr:rowOff>66675</xdr:rowOff>
    </xdr:from>
    <xdr:to>
      <xdr:col>25</xdr:col>
      <xdr:colOff>219075</xdr:colOff>
      <xdr:row>16</xdr:row>
      <xdr:rowOff>152401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18</xdr:row>
      <xdr:rowOff>95250</xdr:rowOff>
    </xdr:from>
    <xdr:to>
      <xdr:col>25</xdr:col>
      <xdr:colOff>285751</xdr:colOff>
      <xdr:row>33</xdr:row>
      <xdr:rowOff>1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7"/>
  <dimension ref="A1:F18"/>
  <sheetViews>
    <sheetView workbookViewId="0">
      <selection activeCell="E5" sqref="E5"/>
    </sheetView>
  </sheetViews>
  <sheetFormatPr defaultRowHeight="12.75"/>
  <cols>
    <col min="1" max="1" width="62.125" style="9" bestFit="1" customWidth="1"/>
    <col min="2" max="2" width="9" style="9"/>
    <col min="3" max="3" width="5.75" style="9" customWidth="1"/>
    <col min="4" max="4" width="5.375" style="9" customWidth="1"/>
    <col min="5" max="5" width="15.25" style="9" bestFit="1" customWidth="1"/>
    <col min="6" max="7" width="16.875" style="9" bestFit="1" customWidth="1"/>
    <col min="8" max="16384" width="9" style="9"/>
  </cols>
  <sheetData>
    <row r="1" spans="1:6">
      <c r="A1" s="1"/>
      <c r="B1" s="2"/>
      <c r="C1" s="2"/>
      <c r="D1" s="2"/>
      <c r="E1" s="2"/>
    </row>
    <row r="2" spans="1:6">
      <c r="A2" s="10" t="s">
        <v>7</v>
      </c>
      <c r="B2" s="11"/>
      <c r="C2" s="11"/>
      <c r="D2" s="11"/>
      <c r="E2" s="11"/>
      <c r="F2" s="20"/>
    </row>
    <row r="4" spans="1:6">
      <c r="A4" s="3" t="s">
        <v>10</v>
      </c>
      <c r="B4" s="4">
        <v>95</v>
      </c>
      <c r="C4" s="2"/>
      <c r="E4" s="16" t="s">
        <v>1</v>
      </c>
      <c r="F4" s="16" t="s">
        <v>3</v>
      </c>
    </row>
    <row r="5" spans="1:6">
      <c r="A5" s="2" t="s">
        <v>9</v>
      </c>
      <c r="B5" s="4">
        <v>100</v>
      </c>
      <c r="C5" s="2"/>
      <c r="D5" s="9">
        <v>1</v>
      </c>
      <c r="E5" s="15">
        <f t="shared" ref="E5:E14" si="0">MCAsian(B$15,B$4,B$5,B$6,B$7,B$8,B$10,B$9,B$12)</f>
        <v>1.4870073483644186</v>
      </c>
      <c r="F5" s="15">
        <f>_xll.MCAsianOptionPricer($B$8,$B$5,$B$4,$B$10,$B$6,$B$7,$B$11,$B$15,$B$13,$B$9)</f>
        <v>1.6557087991434161</v>
      </c>
    </row>
    <row r="6" spans="1:6">
      <c r="A6" s="3" t="s">
        <v>8</v>
      </c>
      <c r="B6" s="6">
        <v>0.06</v>
      </c>
      <c r="C6" s="2"/>
      <c r="D6" s="2">
        <v>2</v>
      </c>
      <c r="E6" s="15">
        <f t="shared" si="0"/>
        <v>1.5527301429426512</v>
      </c>
      <c r="F6" s="15">
        <f>_xll.MCAsianOptionPricer($B$8,$B$5,$B$4,$B$10,$B$6,$B$7,$B$11,$B$15,$B$13,$B$9)</f>
        <v>1.6346719141844845</v>
      </c>
    </row>
    <row r="7" spans="1:6">
      <c r="A7" s="3" t="s">
        <v>11</v>
      </c>
      <c r="B7" s="6">
        <v>0</v>
      </c>
      <c r="C7" s="2"/>
      <c r="D7" s="9">
        <v>3</v>
      </c>
      <c r="E7" s="15">
        <f t="shared" si="0"/>
        <v>1.4872526790706559</v>
      </c>
      <c r="F7" s="15">
        <f>_xll.MCAsianOptionPricer($B$8,$B$5,$B$4,$B$10,$B$6,$B$7,$B$11,$B$15,$B$13,$B$9)</f>
        <v>1.6591212339028067</v>
      </c>
    </row>
    <row r="8" spans="1:6">
      <c r="A8" s="3" t="s">
        <v>12</v>
      </c>
      <c r="B8" s="8">
        <v>0.5</v>
      </c>
      <c r="C8" s="2"/>
      <c r="D8" s="2">
        <v>4</v>
      </c>
      <c r="E8" s="15">
        <f t="shared" si="0"/>
        <v>1.2774137520107203</v>
      </c>
      <c r="F8" s="15">
        <f>_xll.MCAsianOptionPricer($B$8,$B$5,$B$4,$B$10,$B$6,$B$7,$B$11,$B$15,$B$13,$B$9)</f>
        <v>1.6442362364771881</v>
      </c>
    </row>
    <row r="9" spans="1:6">
      <c r="A9" s="18" t="s">
        <v>2</v>
      </c>
      <c r="B9" s="19">
        <v>126</v>
      </c>
      <c r="C9" s="2"/>
      <c r="D9" s="9">
        <v>5</v>
      </c>
      <c r="E9" s="15">
        <f t="shared" si="0"/>
        <v>1.4062843322687701</v>
      </c>
      <c r="F9" s="15">
        <f>_xll.MCAsianOptionPricer($B$8,$B$5,$B$4,$B$10,$B$6,$B$7,$B$11,$B$15,$B$13,$B$9)</f>
        <v>1.6467057068697089</v>
      </c>
    </row>
    <row r="10" spans="1:6">
      <c r="A10" s="3" t="s">
        <v>13</v>
      </c>
      <c r="B10" s="6">
        <v>0.2</v>
      </c>
      <c r="C10" s="2"/>
      <c r="D10" s="2">
        <v>6</v>
      </c>
      <c r="E10" s="15">
        <f t="shared" si="0"/>
        <v>1.2524783815131153</v>
      </c>
      <c r="F10" s="15">
        <f>_xll.MCAsianOptionPricer($B$8,$B$5,$B$4,$B$10,$B$6,$B$7,$B$11,$B$15,$B$13,$B$9)</f>
        <v>1.6347970560333589</v>
      </c>
    </row>
    <row r="11" spans="1:6">
      <c r="A11" s="9" t="s">
        <v>6</v>
      </c>
      <c r="B11" s="9">
        <v>1</v>
      </c>
      <c r="C11" s="2"/>
      <c r="D11" s="9">
        <v>7</v>
      </c>
      <c r="E11" s="15">
        <f t="shared" si="0"/>
        <v>2.1559008397076704</v>
      </c>
      <c r="F11" s="15">
        <f>_xll.MCAsianOptionPricer($B$8,$B$5,$B$4,$B$10,$B$6,$B$7,$B$11,$B$15,$B$13,$B$9)</f>
        <v>1.6621126543779765</v>
      </c>
    </row>
    <row r="12" spans="1:6">
      <c r="A12" s="3" t="s">
        <v>14</v>
      </c>
      <c r="B12" s="17">
        <v>100</v>
      </c>
      <c r="C12" s="2"/>
      <c r="D12" s="2">
        <v>8</v>
      </c>
      <c r="E12" s="15">
        <f t="shared" si="0"/>
        <v>1.8757132030614627</v>
      </c>
      <c r="F12" s="15">
        <f>_xll.MCAsianOptionPricer($B$8,$B$5,$B$4,$B$10,$B$6,$B$7,$B$11,$B$15,$B$13,$B$9)</f>
        <v>1.6455514104490221</v>
      </c>
    </row>
    <row r="13" spans="1:6">
      <c r="A13" s="3" t="s">
        <v>15</v>
      </c>
      <c r="B13" s="17">
        <v>100000</v>
      </c>
      <c r="C13" s="2"/>
      <c r="D13" s="9">
        <v>9</v>
      </c>
      <c r="E13" s="15">
        <f t="shared" si="0"/>
        <v>1.7038915387482012</v>
      </c>
      <c r="F13" s="15">
        <f>_xll.MCAsianOptionPricer($B$8,$B$5,$B$4,$B$10,$B$6,$B$7,$B$11,$B$15,$B$13,$B$9)</f>
        <v>1.6450334354170466</v>
      </c>
    </row>
    <row r="14" spans="1:6">
      <c r="C14" s="2"/>
      <c r="D14" s="2">
        <v>10</v>
      </c>
      <c r="E14" s="15">
        <f t="shared" si="0"/>
        <v>1.3192800894382242</v>
      </c>
      <c r="F14" s="15">
        <f>_xll.MCAsianOptionPricer($B$8,$B$5,$B$4,$B$10,$B$6,$B$7,$B$11,$B$15,$B$13,$B$9)</f>
        <v>1.6276473748150926</v>
      </c>
    </row>
    <row r="15" spans="1:6">
      <c r="A15" s="2" t="s">
        <v>16</v>
      </c>
      <c r="B15" s="2">
        <v>1</v>
      </c>
      <c r="C15" s="2"/>
      <c r="D15" s="2" t="s">
        <v>4</v>
      </c>
      <c r="E15" s="14">
        <f>AVERAGE(E5:E14)</f>
        <v>1.5517952307125891</v>
      </c>
      <c r="F15" s="14">
        <f>AVERAGE(F5:F14)</f>
        <v>1.6455585821670102</v>
      </c>
    </row>
    <row r="16" spans="1:6">
      <c r="A16" s="2" t="s">
        <v>0</v>
      </c>
      <c r="B16" s="5" t="str">
        <f>IF(B15=1,"call","put")</f>
        <v>call</v>
      </c>
      <c r="C16" s="2"/>
      <c r="D16" s="2" t="s">
        <v>5</v>
      </c>
      <c r="E16" s="13">
        <f>STDEV(E5:E14)</f>
        <v>0.28703005956356403</v>
      </c>
      <c r="F16" s="13">
        <f>STDEV(F5:F14)</f>
        <v>1.1152933797288871E-2</v>
      </c>
    </row>
    <row r="17" spans="1:5">
      <c r="C17" s="2"/>
      <c r="D17" s="2"/>
      <c r="E17" s="2"/>
    </row>
    <row r="18" spans="1:5">
      <c r="A18" s="2"/>
      <c r="B18" s="7"/>
      <c r="C18" s="2"/>
      <c r="D18" s="2"/>
      <c r="E1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Q30"/>
  <sheetViews>
    <sheetView tabSelected="1" workbookViewId="0">
      <selection activeCell="B13" sqref="B13"/>
    </sheetView>
  </sheetViews>
  <sheetFormatPr defaultRowHeight="14.25"/>
  <cols>
    <col min="1" max="1" width="13.875" customWidth="1"/>
    <col min="6" max="15" width="5.375" customWidth="1"/>
    <col min="16" max="16" width="6.125" customWidth="1"/>
    <col min="17" max="17" width="6.25" customWidth="1"/>
  </cols>
  <sheetData>
    <row r="1" spans="1:17">
      <c r="A1" s="10" t="s">
        <v>20</v>
      </c>
      <c r="B1" s="11"/>
      <c r="C1" s="11"/>
      <c r="D1" s="11"/>
      <c r="E1" s="12"/>
    </row>
    <row r="2" spans="1:17">
      <c r="A2" s="2"/>
      <c r="B2" s="2"/>
      <c r="C2" s="2"/>
      <c r="D2" s="2"/>
      <c r="E2" s="2"/>
    </row>
    <row r="3" spans="1:17">
      <c r="A3" s="18"/>
      <c r="B3" s="4"/>
      <c r="C3" s="2"/>
      <c r="G3" s="24" t="s">
        <v>17</v>
      </c>
      <c r="H3" s="24"/>
      <c r="I3" s="24"/>
      <c r="J3" s="24"/>
      <c r="K3" s="24"/>
      <c r="L3" s="24"/>
      <c r="M3" s="24"/>
      <c r="N3" s="24"/>
      <c r="O3" s="24"/>
      <c r="P3" s="24"/>
      <c r="Q3" s="24"/>
    </row>
    <row r="4" spans="1:17">
      <c r="A4" s="3" t="s">
        <v>10</v>
      </c>
      <c r="B4" s="4">
        <v>95</v>
      </c>
      <c r="C4" s="2"/>
      <c r="G4" s="23">
        <v>95</v>
      </c>
      <c r="H4" s="23">
        <v>96</v>
      </c>
      <c r="I4" s="23">
        <v>97</v>
      </c>
      <c r="J4" s="23">
        <v>98</v>
      </c>
      <c r="K4" s="23">
        <v>99</v>
      </c>
      <c r="L4" s="23">
        <v>100</v>
      </c>
      <c r="M4" s="23">
        <v>101</v>
      </c>
      <c r="N4" s="23">
        <v>102</v>
      </c>
      <c r="O4" s="23">
        <v>103</v>
      </c>
      <c r="P4" s="23">
        <v>104</v>
      </c>
      <c r="Q4" s="23">
        <v>105</v>
      </c>
    </row>
    <row r="5" spans="1:17">
      <c r="A5" s="2" t="s">
        <v>9</v>
      </c>
      <c r="B5" s="4">
        <v>100</v>
      </c>
      <c r="C5" s="2"/>
      <c r="E5" s="21"/>
      <c r="F5" s="21">
        <v>95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17">
      <c r="A6" s="3" t="s">
        <v>8</v>
      </c>
      <c r="B6" s="6">
        <v>0.06</v>
      </c>
      <c r="C6" s="2"/>
      <c r="E6" s="21"/>
      <c r="F6" s="21">
        <v>96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spans="1:17">
      <c r="A7" s="3" t="s">
        <v>11</v>
      </c>
      <c r="B7" s="6">
        <v>0</v>
      </c>
      <c r="C7" s="2"/>
      <c r="E7" s="21"/>
      <c r="F7" s="21">
        <v>97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>
      <c r="A8" s="3" t="s">
        <v>12</v>
      </c>
      <c r="B8" s="8">
        <v>0.5</v>
      </c>
      <c r="C8" s="2"/>
      <c r="E8" s="21"/>
      <c r="F8" s="21">
        <v>98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>
      <c r="A9" s="18" t="s">
        <v>2</v>
      </c>
      <c r="B9" s="19">
        <v>126</v>
      </c>
      <c r="E9" s="21"/>
      <c r="F9" s="21">
        <v>99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>
      <c r="A10" s="3" t="s">
        <v>13</v>
      </c>
      <c r="B10" s="6">
        <v>0.2</v>
      </c>
      <c r="E10" s="21" t="s">
        <v>18</v>
      </c>
      <c r="F10" s="21">
        <v>100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>
      <c r="A11" s="9" t="s">
        <v>6</v>
      </c>
      <c r="B11" s="9">
        <v>0</v>
      </c>
      <c r="E11" s="21"/>
      <c r="F11" s="21">
        <v>101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>
      <c r="E12" s="21"/>
      <c r="F12" s="21">
        <v>102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>
      <c r="A13" s="3" t="s">
        <v>15</v>
      </c>
      <c r="B13" s="17">
        <v>10000</v>
      </c>
      <c r="E13" s="21"/>
      <c r="F13" s="21">
        <v>103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</row>
    <row r="14" spans="1:17">
      <c r="A14" s="9"/>
      <c r="B14" s="9"/>
      <c r="E14" s="21"/>
      <c r="F14" s="21">
        <v>104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</row>
    <row r="15" spans="1:17">
      <c r="A15" s="2" t="s">
        <v>16</v>
      </c>
      <c r="B15" s="2">
        <v>1</v>
      </c>
      <c r="E15" s="21"/>
      <c r="F15" s="21">
        <v>105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</row>
    <row r="16" spans="1:17">
      <c r="A16" s="2" t="s">
        <v>0</v>
      </c>
      <c r="B16" s="5" t="str">
        <f>IF(B15=1,"call","put")</f>
        <v>call</v>
      </c>
    </row>
    <row r="18" spans="5:17">
      <c r="G18" s="24" t="s">
        <v>19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</row>
    <row r="19" spans="5:17">
      <c r="G19" s="23">
        <v>0.01</v>
      </c>
      <c r="H19" s="23">
        <v>0.05</v>
      </c>
      <c r="I19" s="23">
        <v>0.1</v>
      </c>
      <c r="J19" s="23">
        <v>0.2</v>
      </c>
      <c r="K19" s="23">
        <v>0.3</v>
      </c>
      <c r="L19" s="23">
        <v>0.4</v>
      </c>
      <c r="M19" s="23">
        <v>0.5</v>
      </c>
      <c r="N19" s="23">
        <v>0.6</v>
      </c>
      <c r="O19" s="23">
        <v>0.7</v>
      </c>
      <c r="P19" s="23">
        <v>0.8</v>
      </c>
      <c r="Q19" s="23">
        <v>0.9</v>
      </c>
    </row>
    <row r="20" spans="5:17">
      <c r="E20" s="21"/>
      <c r="F20" s="21">
        <v>90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5:17">
      <c r="E21" s="21"/>
      <c r="F21" s="21">
        <v>92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5:17">
      <c r="E22" s="21"/>
      <c r="F22" s="21">
        <v>94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5:17">
      <c r="E23" s="21"/>
      <c r="F23" s="21">
        <v>96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5:17">
      <c r="E24" s="21"/>
      <c r="F24" s="21">
        <v>98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5:17">
      <c r="E25" s="21" t="s">
        <v>18</v>
      </c>
      <c r="F25" s="21">
        <v>100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5:17">
      <c r="E26" s="21"/>
      <c r="F26" s="21">
        <v>102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5:17">
      <c r="E27" s="21"/>
      <c r="F27" s="21">
        <v>104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5:17">
      <c r="E28" s="21"/>
      <c r="F28" s="21">
        <v>106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5:17">
      <c r="E29" s="21"/>
      <c r="F29" s="21">
        <v>108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5:17">
      <c r="E30" s="21"/>
      <c r="F30" s="21">
        <v>110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Asian</vt:lpstr>
      <vt:lpstr>plots Asian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Sakowski</dc:creator>
  <cp:lastModifiedBy>Paweł Sakowski</cp:lastModifiedBy>
  <dcterms:created xsi:type="dcterms:W3CDTF">2012-03-21T13:34:25Z</dcterms:created>
  <dcterms:modified xsi:type="dcterms:W3CDTF">2019-05-22T12:47:14Z</dcterms:modified>
</cp:coreProperties>
</file>