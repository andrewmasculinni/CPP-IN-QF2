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5600" windowHeight="7530"/>
  </bookViews>
  <sheets>
    <sheet name="Asian" sheetId="7" r:id="rId1"/>
  </sheets>
  <functionGroups/>
  <calcPr calcId="125725"/>
</workbook>
</file>

<file path=xl/calcChain.xml><?xml version="1.0" encoding="utf-8"?>
<calcChain xmlns="http://schemas.openxmlformats.org/spreadsheetml/2006/main">
  <c r="F14" i="7"/>
  <c r="E14"/>
  <c r="E6"/>
  <c r="B16" l="1"/>
  <c r="E19"/>
  <c r="F18"/>
  <c r="E11"/>
  <c r="E20"/>
  <c r="F20"/>
  <c r="F11"/>
  <c r="E23"/>
  <c r="E5"/>
  <c r="F6"/>
  <c r="E21"/>
  <c r="F9"/>
  <c r="E15"/>
  <c r="F10"/>
  <c r="F17"/>
  <c r="F21"/>
  <c r="E10"/>
  <c r="E12"/>
  <c r="E7"/>
  <c r="F7"/>
  <c r="E17"/>
  <c r="F23"/>
  <c r="F13"/>
  <c r="F5"/>
  <c r="E8"/>
  <c r="F24"/>
  <c r="E24"/>
  <c r="F15"/>
  <c r="F22"/>
  <c r="F16"/>
  <c r="F19"/>
  <c r="E18"/>
  <c r="E22"/>
  <c r="E13"/>
  <c r="E16"/>
  <c r="F8"/>
  <c r="F12"/>
  <c r="E9"/>
  <c r="F26" l="1"/>
  <c r="E26"/>
  <c r="E25"/>
  <c r="F25"/>
</calcChain>
</file>

<file path=xl/sharedStrings.xml><?xml version="1.0" encoding="utf-8"?>
<sst xmlns="http://schemas.openxmlformats.org/spreadsheetml/2006/main" count="16" uniqueCount="16">
  <si>
    <t>option</t>
  </si>
  <si>
    <t>number of days</t>
  </si>
  <si>
    <t>mean</t>
  </si>
  <si>
    <t>stdev</t>
  </si>
  <si>
    <t>Geometric?</t>
  </si>
  <si>
    <t>Using Monte Carlo Simulation in Arithmetic/Geometric Asian Option Pricing</t>
  </si>
  <si>
    <t>Interest rate</t>
  </si>
  <si>
    <t>Exercise price</t>
  </si>
  <si>
    <t>Share price</t>
  </si>
  <si>
    <t>Dividend yield</t>
  </si>
  <si>
    <t>Time maturity</t>
  </si>
  <si>
    <t>Volatility</t>
  </si>
  <si>
    <t>number of simulations for C++ function</t>
  </si>
  <si>
    <t>callOrPut?</t>
  </si>
  <si>
    <t>Asian MC value C++ with antithetic variates</t>
  </si>
  <si>
    <t>Asian MC value C++ no antithetic variates</t>
  </si>
</sst>
</file>

<file path=xl/styles.xml><?xml version="1.0" encoding="utf-8"?>
<styleSheet xmlns="http://schemas.openxmlformats.org/spreadsheetml/2006/main">
  <numFmts count="3">
    <numFmt numFmtId="164" formatCode="0.0000"/>
    <numFmt numFmtId="165" formatCode="General_)"/>
    <numFmt numFmtId="166" formatCode="0.000"/>
  </numFmts>
  <fonts count="6">
    <font>
      <sz val="11"/>
      <color theme="1"/>
      <name val="Czcionka tekstu podstawowego"/>
      <family val="2"/>
      <charset val="238"/>
    </font>
    <font>
      <sz val="10"/>
      <name val="Times New Roman"/>
      <family val="1"/>
      <charset val="238"/>
    </font>
    <font>
      <sz val="10"/>
      <name val="Times New Roman"/>
      <family val="1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2" fillId="0" borderId="0"/>
  </cellStyleXfs>
  <cellXfs count="20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applyFont="1"/>
    <xf numFmtId="0" fontId="4" fillId="0" borderId="0" xfId="0" quotePrefix="1" applyFont="1" applyAlignment="1">
      <alignment horizontal="left"/>
    </xf>
    <xf numFmtId="2" fontId="3" fillId="0" borderId="0" xfId="0" applyNumberFormat="1" applyFont="1"/>
    <xf numFmtId="0" fontId="4" fillId="0" borderId="0" xfId="0" applyFont="1" applyAlignment="1">
      <alignment horizontal="right"/>
    </xf>
    <xf numFmtId="10" fontId="3" fillId="0" borderId="0" xfId="0" applyNumberFormat="1" applyFont="1"/>
    <xf numFmtId="164" fontId="4" fillId="0" borderId="0" xfId="0" applyNumberFormat="1" applyFont="1"/>
    <xf numFmtId="164" fontId="3" fillId="0" borderId="0" xfId="0" applyNumberFormat="1" applyFont="1"/>
    <xf numFmtId="0" fontId="5" fillId="0" borderId="0" xfId="0" applyFont="1"/>
    <xf numFmtId="0" fontId="3" fillId="2" borderId="2" xfId="0" quotePrefix="1" applyFont="1" applyFill="1" applyBorder="1" applyAlignment="1">
      <alignment horizontal="left"/>
    </xf>
    <xf numFmtId="0" fontId="4" fillId="2" borderId="3" xfId="0" applyFont="1" applyFill="1" applyBorder="1"/>
    <xf numFmtId="0" fontId="5" fillId="2" borderId="1" xfId="0" applyFont="1" applyFill="1" applyBorder="1"/>
    <xf numFmtId="2" fontId="5" fillId="2" borderId="1" xfId="0" applyNumberFormat="1" applyFont="1" applyFill="1" applyBorder="1"/>
    <xf numFmtId="2" fontId="3" fillId="5" borderId="1" xfId="0" quotePrefix="1" applyNumberFormat="1" applyFont="1" applyFill="1" applyBorder="1" applyAlignment="1">
      <alignment horizontal="left"/>
    </xf>
    <xf numFmtId="0" fontId="4" fillId="3" borderId="1" xfId="0" applyFont="1" applyFill="1" applyBorder="1"/>
    <xf numFmtId="0" fontId="4" fillId="0" borderId="0" xfId="0" applyFont="1" applyAlignment="1">
      <alignment horizontal="left"/>
    </xf>
    <xf numFmtId="0" fontId="3" fillId="0" borderId="0" xfId="0" applyNumberFormat="1" applyFont="1"/>
    <xf numFmtId="0" fontId="3" fillId="2" borderId="4" xfId="0" quotePrefix="1" applyFont="1" applyFill="1" applyBorder="1" applyAlignment="1">
      <alignment horizontal="left"/>
    </xf>
    <xf numFmtId="166" fontId="3" fillId="4" borderId="1" xfId="0" applyNumberFormat="1" applyFont="1" applyFill="1" applyBorder="1"/>
  </cellXfs>
  <cellStyles count="3">
    <cellStyle name="Normal_Call" xfId="2"/>
    <cellStyle name="Normalny" xfId="0" builtinId="0"/>
    <cellStyle name="Normalny 2" xfId="1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7"/>
  <dimension ref="A1:K55"/>
  <sheetViews>
    <sheetView tabSelected="1" workbookViewId="0">
      <selection activeCell="F15" sqref="F15"/>
    </sheetView>
  </sheetViews>
  <sheetFormatPr defaultRowHeight="12.75"/>
  <cols>
    <col min="1" max="1" width="62.125" style="9" bestFit="1" customWidth="1"/>
    <col min="2" max="2" width="9" style="9"/>
    <col min="3" max="3" width="5.75" style="9" customWidth="1"/>
    <col min="4" max="4" width="5.375" style="9" customWidth="1"/>
    <col min="5" max="5" width="34.625" style="9" bestFit="1" customWidth="1"/>
    <col min="6" max="6" width="36" style="9" bestFit="1" customWidth="1"/>
    <col min="7" max="16384" width="9" style="9"/>
  </cols>
  <sheetData>
    <row r="1" spans="1:6">
      <c r="A1" s="1"/>
      <c r="B1" s="2"/>
      <c r="C1" s="2"/>
      <c r="D1" s="2"/>
    </row>
    <row r="2" spans="1:6">
      <c r="A2" s="10" t="s">
        <v>5</v>
      </c>
      <c r="B2" s="11"/>
      <c r="C2" s="11"/>
      <c r="D2" s="11"/>
      <c r="E2" s="18"/>
    </row>
    <row r="4" spans="1:6">
      <c r="A4" s="3" t="s">
        <v>8</v>
      </c>
      <c r="B4" s="4">
        <v>95</v>
      </c>
      <c r="C4" s="2"/>
      <c r="E4" s="14" t="s">
        <v>15</v>
      </c>
      <c r="F4" s="14" t="s">
        <v>14</v>
      </c>
    </row>
    <row r="5" spans="1:6">
      <c r="A5" s="2" t="s">
        <v>7</v>
      </c>
      <c r="B5" s="4">
        <v>100</v>
      </c>
      <c r="C5" s="2"/>
      <c r="D5" s="9">
        <v>1</v>
      </c>
      <c r="E5" s="19">
        <f>_xll.MCAsianOptionPricer($B$8,$B$5,$B$4,$B$10,$B$6,$B$7,$B$11,$B$15,$B$13,$B$9,0)</f>
        <v>1.6713332235494118</v>
      </c>
      <c r="F5" s="19">
        <f>_xll.MCAsianOptionPricer($B$8,$B$5,$B$4,$B$10,$B$6,$B$7,$B$11,$B$15,$B$13,$B$9,1)</f>
        <v>1.6472068662476076</v>
      </c>
    </row>
    <row r="6" spans="1:6">
      <c r="A6" s="3" t="s">
        <v>6</v>
      </c>
      <c r="B6" s="6">
        <v>0.06</v>
      </c>
      <c r="C6" s="2"/>
      <c r="D6" s="2">
        <v>2</v>
      </c>
      <c r="E6" s="19">
        <f>_xll.MCAsianOptionPricer($B$8,$B$5,$B$4,$B$10,$B$6,$B$7,$B$11,$B$15,$B$13,$B$9,0)</f>
        <v>1.6654064337453252</v>
      </c>
      <c r="F6" s="19">
        <f>_xll.MCAsianOptionPricer($B$8,$B$5,$B$4,$B$10,$B$6,$B$7,$B$11,$B$15,$B$13,$B$9,1)</f>
        <v>1.6177312472502887</v>
      </c>
    </row>
    <row r="7" spans="1:6">
      <c r="A7" s="3" t="s">
        <v>9</v>
      </c>
      <c r="B7" s="6">
        <v>0</v>
      </c>
      <c r="C7" s="2"/>
      <c r="D7" s="9">
        <v>3</v>
      </c>
      <c r="E7" s="19">
        <f>_xll.MCAsianOptionPricer($B$8,$B$5,$B$4,$B$10,$B$6,$B$7,$B$11,$B$15,$B$13,$B$9,0)</f>
        <v>1.6304655011334768</v>
      </c>
      <c r="F7" s="19">
        <f>_xll.MCAsianOptionPricer($B$8,$B$5,$B$4,$B$10,$B$6,$B$7,$B$11,$B$15,$B$13,$B$9,1)</f>
        <v>1.6349866769654089</v>
      </c>
    </row>
    <row r="8" spans="1:6">
      <c r="A8" s="3" t="s">
        <v>10</v>
      </c>
      <c r="B8" s="8">
        <v>0.5</v>
      </c>
      <c r="C8" s="2"/>
      <c r="D8" s="2">
        <v>4</v>
      </c>
      <c r="E8" s="19">
        <f>_xll.MCAsianOptionPricer($B$8,$B$5,$B$4,$B$10,$B$6,$B$7,$B$11,$B$15,$B$13,$B$9,0)</f>
        <v>1.6177393597198633</v>
      </c>
      <c r="F8" s="19">
        <f>_xll.MCAsianOptionPricer($B$8,$B$5,$B$4,$B$10,$B$6,$B$7,$B$11,$B$15,$B$13,$B$9,1)</f>
        <v>1.6237002261792863</v>
      </c>
    </row>
    <row r="9" spans="1:6">
      <c r="A9" s="16" t="s">
        <v>1</v>
      </c>
      <c r="B9" s="17">
        <v>126</v>
      </c>
      <c r="C9" s="2"/>
      <c r="D9" s="9">
        <v>5</v>
      </c>
      <c r="E9" s="19">
        <f>_xll.MCAsianOptionPricer($B$8,$B$5,$B$4,$B$10,$B$6,$B$7,$B$11,$B$15,$B$13,$B$9,0)</f>
        <v>1.6386242616202251</v>
      </c>
      <c r="F9" s="19">
        <f>_xll.MCAsianOptionPricer($B$8,$B$5,$B$4,$B$10,$B$6,$B$7,$B$11,$B$15,$B$13,$B$9,1)</f>
        <v>1.657351856005193</v>
      </c>
    </row>
    <row r="10" spans="1:6">
      <c r="A10" s="3" t="s">
        <v>11</v>
      </c>
      <c r="B10" s="6">
        <v>0.2</v>
      </c>
      <c r="C10" s="2"/>
      <c r="D10" s="2">
        <v>6</v>
      </c>
      <c r="E10" s="19">
        <f>_xll.MCAsianOptionPricer($B$8,$B$5,$B$4,$B$10,$B$6,$B$7,$B$11,$B$15,$B$13,$B$9,0)</f>
        <v>1.6432609814693295</v>
      </c>
      <c r="F10" s="19">
        <f>_xll.MCAsianOptionPricer($B$8,$B$5,$B$4,$B$10,$B$6,$B$7,$B$11,$B$15,$B$13,$B$9,1)</f>
        <v>1.6697447340253229</v>
      </c>
    </row>
    <row r="11" spans="1:6">
      <c r="A11" s="9" t="s">
        <v>4</v>
      </c>
      <c r="B11" s="9">
        <v>1</v>
      </c>
      <c r="C11" s="2"/>
      <c r="D11" s="9">
        <v>7</v>
      </c>
      <c r="E11" s="19">
        <f>_xll.MCAsianOptionPricer($B$8,$B$5,$B$4,$B$10,$B$6,$B$7,$B$11,$B$15,$B$13,$B$9,0)</f>
        <v>1.6758174769347693</v>
      </c>
      <c r="F11" s="19">
        <f>_xll.MCAsianOptionPricer($B$8,$B$5,$B$4,$B$10,$B$6,$B$7,$B$11,$B$15,$B$13,$B$9,1)</f>
        <v>1.6338624700447588</v>
      </c>
    </row>
    <row r="12" spans="1:6">
      <c r="A12" s="3"/>
      <c r="B12" s="3"/>
      <c r="C12" s="2"/>
      <c r="D12" s="2">
        <v>8</v>
      </c>
      <c r="E12" s="19">
        <f>_xll.MCAsianOptionPricer($B$8,$B$5,$B$4,$B$10,$B$6,$B$7,$B$11,$B$15,$B$13,$B$9,0)</f>
        <v>1.6432609814693295</v>
      </c>
      <c r="F12" s="19">
        <f>_xll.MCAsianOptionPricer($B$8,$B$5,$B$4,$B$10,$B$6,$B$7,$B$11,$B$15,$B$13,$B$9,1)</f>
        <v>1.6485878981624855</v>
      </c>
    </row>
    <row r="13" spans="1:6">
      <c r="A13" s="3" t="s">
        <v>12</v>
      </c>
      <c r="B13" s="15">
        <v>50000</v>
      </c>
      <c r="C13" s="2"/>
      <c r="D13" s="9">
        <v>9</v>
      </c>
      <c r="E13" s="19">
        <f>_xll.MCAsianOptionPricer($B$8,$B$5,$B$4,$B$10,$B$6,$B$7,$B$11,$B$15,$B$13,$B$9,0)</f>
        <v>1.6600184596506873</v>
      </c>
      <c r="F13" s="19">
        <f>_xll.MCAsianOptionPricer($B$8,$B$5,$B$4,$B$10,$B$6,$B$7,$B$11,$B$15,$B$13,$B$9,1)</f>
        <v>1.6514412270726304</v>
      </c>
    </row>
    <row r="14" spans="1:6">
      <c r="C14" s="2"/>
      <c r="D14" s="2">
        <v>10</v>
      </c>
      <c r="E14" s="19">
        <f>_xll.MCAsianOptionPricer($B$8,$B$5,$B$4,$B$10,$B$6,$B$7,$B$11,$B$15,$B$13,$B$9,0)</f>
        <v>1.6435126030271183</v>
      </c>
      <c r="F14" s="19">
        <f>_xll.MCAsianOptionPricer($B$8,$B$5,$B$4,$B$10,$B$6,$B$7,$B$11,$B$15,$B$13,$B$9,1)</f>
        <v>1.6317014790760409</v>
      </c>
    </row>
    <row r="15" spans="1:6">
      <c r="A15" s="2" t="s">
        <v>13</v>
      </c>
      <c r="B15" s="2">
        <v>1</v>
      </c>
      <c r="C15" s="2"/>
      <c r="D15" s="2">
        <v>11</v>
      </c>
      <c r="E15" s="19">
        <f>_xll.MCAsianOptionPricer($B$8,$B$5,$B$4,$B$10,$B$6,$B$7,$B$11,$B$15,$B$13,$B$9,0)</f>
        <v>1.6629385336794555</v>
      </c>
      <c r="F15" s="19">
        <f>_xll.MCAsianOptionPricer($B$8,$B$5,$B$4,$B$10,$B$6,$B$7,$B$11,$B$15,$B$13,$B$9,1)</f>
        <v>1.6273309075650186</v>
      </c>
    </row>
    <row r="16" spans="1:6">
      <c r="A16" s="2" t="s">
        <v>0</v>
      </c>
      <c r="B16" s="5" t="str">
        <f>IF(B15=1,"call","put")</f>
        <v>call</v>
      </c>
      <c r="C16" s="2"/>
      <c r="D16" s="2">
        <v>12</v>
      </c>
      <c r="E16" s="19">
        <f>_xll.MCAsianOptionPricer($B$8,$B$5,$B$4,$B$10,$B$6,$B$7,$B$11,$B$15,$B$13,$B$9,0)</f>
        <v>1.6600184596506873</v>
      </c>
      <c r="F16" s="19">
        <f>_xll.MCAsianOptionPricer($B$8,$B$5,$B$4,$B$10,$B$6,$B$7,$B$11,$B$15,$B$13,$B$9,1)</f>
        <v>1.6454829916743776</v>
      </c>
    </row>
    <row r="17" spans="1:11">
      <c r="C17" s="2"/>
      <c r="D17" s="2">
        <v>13</v>
      </c>
      <c r="E17" s="19">
        <f>_xll.MCAsianOptionPricer($B$8,$B$5,$B$4,$B$10,$B$6,$B$7,$B$11,$B$15,$B$13,$B$9,0)</f>
        <v>1.6525171737002418</v>
      </c>
      <c r="F17" s="19">
        <f>_xll.MCAsianOptionPricer($B$8,$B$5,$B$4,$B$10,$B$6,$B$7,$B$11,$B$15,$B$13,$B$9,1)</f>
        <v>1.6584714753851566</v>
      </c>
    </row>
    <row r="18" spans="1:11">
      <c r="A18" s="2"/>
      <c r="B18" s="7"/>
      <c r="C18" s="2"/>
      <c r="D18" s="2">
        <v>14</v>
      </c>
      <c r="E18" s="19">
        <f>_xll.MCAsianOptionPricer($B$8,$B$5,$B$4,$B$10,$B$6,$B$7,$B$11,$B$15,$B$13,$B$9,0)</f>
        <v>1.6509133558438704</v>
      </c>
      <c r="F18" s="19">
        <f>_xll.MCAsianOptionPricer($B$8,$B$5,$B$4,$B$10,$B$6,$B$7,$B$11,$B$15,$B$13,$B$9,1)</f>
        <v>1.6619324482580105</v>
      </c>
    </row>
    <row r="19" spans="1:11">
      <c r="D19" s="2">
        <v>15</v>
      </c>
      <c r="E19" s="19">
        <f>_xll.MCAsianOptionPricer($B$8,$B$5,$B$4,$B$10,$B$6,$B$7,$B$11,$B$15,$B$13,$B$9,0)</f>
        <v>1.6529666127021472</v>
      </c>
      <c r="F19" s="19">
        <f>_xll.MCAsianOptionPricer($B$8,$B$5,$B$4,$B$10,$B$6,$B$7,$B$11,$B$15,$B$13,$B$9,1)</f>
        <v>1.6671741540058729</v>
      </c>
    </row>
    <row r="20" spans="1:11">
      <c r="D20" s="2">
        <v>16</v>
      </c>
      <c r="E20" s="19">
        <f>_xll.MCAsianOptionPricer($B$8,$B$5,$B$4,$B$10,$B$6,$B$7,$B$11,$B$15,$B$13,$B$9,0)</f>
        <v>1.6494006814702271</v>
      </c>
      <c r="F20" s="19">
        <f>_xll.MCAsianOptionPricer($B$8,$B$5,$B$4,$B$10,$B$6,$B$7,$B$11,$B$15,$B$13,$B$9,1)</f>
        <v>1.6312170353552211</v>
      </c>
    </row>
    <row r="21" spans="1:11">
      <c r="D21" s="2">
        <v>17</v>
      </c>
      <c r="E21" s="19">
        <f>_xll.MCAsianOptionPricer($B$8,$B$5,$B$4,$B$10,$B$6,$B$7,$B$11,$B$15,$B$13,$B$9,0)</f>
        <v>1.5866153342274012</v>
      </c>
      <c r="F21" s="19">
        <f>_xll.MCAsianOptionPricer($B$8,$B$5,$B$4,$B$10,$B$6,$B$7,$B$11,$B$15,$B$13,$B$9,1)</f>
        <v>1.6584714753851566</v>
      </c>
    </row>
    <row r="22" spans="1:11">
      <c r="D22" s="2">
        <v>18</v>
      </c>
      <c r="E22" s="19">
        <f>_xll.MCAsianOptionPricer($B$8,$B$5,$B$4,$B$10,$B$6,$B$7,$B$11,$B$15,$B$13,$B$9,0)</f>
        <v>1.6509133558438704</v>
      </c>
      <c r="F22" s="19">
        <f>_xll.MCAsianOptionPricer($B$8,$B$5,$B$4,$B$10,$B$6,$B$7,$B$11,$B$15,$B$13,$B$9,1)</f>
        <v>1.6454829916743776</v>
      </c>
    </row>
    <row r="23" spans="1:11">
      <c r="D23" s="2">
        <v>19</v>
      </c>
      <c r="E23" s="19">
        <f>_xll.MCAsianOptionPricer($B$8,$B$5,$B$4,$B$10,$B$6,$B$7,$B$11,$B$15,$B$13,$B$9,0)</f>
        <v>1.6325661814192403</v>
      </c>
      <c r="F23" s="19">
        <f>_xll.MCAsianOptionPricer($B$8,$B$5,$B$4,$B$10,$B$6,$B$7,$B$11,$B$15,$B$13,$B$9,1)</f>
        <v>1.6514412270726304</v>
      </c>
    </row>
    <row r="24" spans="1:11">
      <c r="D24" s="2">
        <v>20</v>
      </c>
      <c r="E24" s="19">
        <f>_xll.MCAsianOptionPricer($B$8,$B$5,$B$4,$B$10,$B$6,$B$7,$B$11,$B$15,$B$13,$B$9,0)</f>
        <v>1.6331933291436014</v>
      </c>
      <c r="F24" s="19">
        <f>_xll.MCAsianOptionPricer($B$8,$B$5,$B$4,$B$10,$B$6,$B$7,$B$11,$B$15,$B$13,$B$9,1)</f>
        <v>1.614477210478013</v>
      </c>
    </row>
    <row r="25" spans="1:11">
      <c r="D25" s="2" t="s">
        <v>2</v>
      </c>
      <c r="E25" s="13">
        <f>AVERAGE(E5:E24)</f>
        <v>1.6460741150000135</v>
      </c>
      <c r="F25" s="13">
        <f>AVERAGE(F5:F24)</f>
        <v>1.6438898298941429</v>
      </c>
    </row>
    <row r="26" spans="1:11">
      <c r="D26" s="2" t="s">
        <v>3</v>
      </c>
      <c r="E26" s="12">
        <f>STDEV(E5:E24)</f>
        <v>2.016347752375516E-2</v>
      </c>
      <c r="F26" s="12">
        <f>STDEV(F5:F24)</f>
        <v>1.6246467216837937E-2</v>
      </c>
    </row>
    <row r="27" spans="1:11">
      <c r="D27" s="2"/>
      <c r="E27" s="2"/>
      <c r="F27" s="2"/>
      <c r="G27" s="2"/>
      <c r="H27" s="2"/>
      <c r="I27" s="2"/>
      <c r="J27" s="2"/>
      <c r="K27" s="2"/>
    </row>
    <row r="28" spans="1:11">
      <c r="D28" s="2"/>
      <c r="E28" s="2"/>
      <c r="F28" s="2"/>
      <c r="G28" s="2"/>
    </row>
    <row r="29" spans="1:11">
      <c r="D29" s="2"/>
      <c r="E29" s="2"/>
      <c r="F29" s="2"/>
      <c r="G29" s="2"/>
    </row>
    <row r="30" spans="1:11">
      <c r="D30" s="2"/>
      <c r="E30" s="2"/>
      <c r="F30" s="2"/>
      <c r="G30" s="2"/>
    </row>
    <row r="31" spans="1:11">
      <c r="D31" s="2"/>
      <c r="E31" s="2"/>
      <c r="F31" s="2"/>
      <c r="G31" s="2"/>
    </row>
    <row r="32" spans="1:11">
      <c r="D32" s="2"/>
      <c r="E32" s="2"/>
      <c r="F32" s="2"/>
      <c r="G32" s="2"/>
    </row>
    <row r="33" spans="4:7">
      <c r="D33" s="2"/>
      <c r="E33" s="2"/>
      <c r="F33" s="2"/>
      <c r="G33" s="2"/>
    </row>
    <row r="34" spans="4:7">
      <c r="D34" s="2"/>
      <c r="E34" s="2"/>
      <c r="F34" s="2"/>
      <c r="G34" s="2"/>
    </row>
    <row r="35" spans="4:7">
      <c r="D35" s="2"/>
      <c r="E35" s="2"/>
      <c r="F35" s="2"/>
      <c r="G35" s="2"/>
    </row>
    <row r="36" spans="4:7">
      <c r="D36" s="2"/>
      <c r="E36" s="2"/>
      <c r="F36" s="2"/>
      <c r="G36" s="2"/>
    </row>
    <row r="37" spans="4:7">
      <c r="D37" s="2"/>
      <c r="E37" s="2"/>
      <c r="F37" s="2"/>
      <c r="G37" s="2"/>
    </row>
    <row r="38" spans="4:7">
      <c r="D38" s="2"/>
      <c r="E38" s="2"/>
      <c r="F38" s="2"/>
      <c r="G38" s="2"/>
    </row>
    <row r="39" spans="4:7">
      <c r="D39" s="2"/>
      <c r="E39" s="2"/>
      <c r="F39" s="2"/>
      <c r="G39" s="2"/>
    </row>
    <row r="40" spans="4:7">
      <c r="D40" s="2"/>
      <c r="E40" s="2"/>
      <c r="F40" s="2"/>
      <c r="G40" s="2"/>
    </row>
    <row r="41" spans="4:7">
      <c r="D41" s="2"/>
      <c r="E41" s="2"/>
      <c r="F41" s="2"/>
      <c r="G41" s="2"/>
    </row>
    <row r="42" spans="4:7">
      <c r="D42" s="2"/>
      <c r="E42" s="2"/>
      <c r="F42" s="2"/>
      <c r="G42" s="2"/>
    </row>
    <row r="43" spans="4:7">
      <c r="D43" s="2"/>
      <c r="E43" s="2"/>
      <c r="F43" s="2"/>
      <c r="G43" s="2"/>
    </row>
    <row r="44" spans="4:7">
      <c r="D44" s="2"/>
      <c r="E44" s="2"/>
      <c r="F44" s="2"/>
      <c r="G44" s="2"/>
    </row>
    <row r="45" spans="4:7">
      <c r="D45" s="2"/>
      <c r="E45" s="2"/>
      <c r="F45" s="2"/>
      <c r="G45" s="2"/>
    </row>
    <row r="46" spans="4:7">
      <c r="D46" s="2"/>
      <c r="E46" s="2"/>
      <c r="F46" s="2"/>
      <c r="G46" s="2"/>
    </row>
    <row r="47" spans="4:7">
      <c r="D47" s="2"/>
      <c r="E47" s="2"/>
      <c r="F47" s="2"/>
      <c r="G47" s="2"/>
    </row>
    <row r="48" spans="4:7">
      <c r="D48" s="2"/>
      <c r="E48" s="2"/>
      <c r="F48" s="2"/>
      <c r="G48" s="2"/>
    </row>
    <row r="49" spans="4:7">
      <c r="D49" s="2"/>
      <c r="E49" s="2"/>
      <c r="F49" s="2"/>
      <c r="G49" s="2"/>
    </row>
    <row r="50" spans="4:7">
      <c r="D50" s="2"/>
      <c r="E50" s="2"/>
      <c r="F50" s="2"/>
      <c r="G50" s="2"/>
    </row>
    <row r="51" spans="4:7">
      <c r="D51" s="2"/>
      <c r="E51" s="2"/>
      <c r="F51" s="2"/>
      <c r="G51" s="2"/>
    </row>
    <row r="52" spans="4:7">
      <c r="D52" s="2"/>
      <c r="E52" s="2"/>
      <c r="F52" s="2"/>
      <c r="G52" s="2"/>
    </row>
    <row r="53" spans="4:7">
      <c r="D53" s="2"/>
      <c r="E53" s="2"/>
      <c r="F53" s="2"/>
      <c r="G53" s="2"/>
    </row>
    <row r="54" spans="4:7">
      <c r="D54" s="2"/>
      <c r="E54" s="2"/>
      <c r="F54" s="2"/>
      <c r="G54" s="2"/>
    </row>
    <row r="55" spans="4:7">
      <c r="D55" s="2"/>
      <c r="E55" s="2"/>
      <c r="F55" s="2"/>
      <c r="G55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Asian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Sakowski</dc:creator>
  <cp:lastModifiedBy>Paweł Sakowski</cp:lastModifiedBy>
  <dcterms:created xsi:type="dcterms:W3CDTF">2012-03-21T13:34:25Z</dcterms:created>
  <dcterms:modified xsi:type="dcterms:W3CDTF">2020-06-11T08:21:53Z</dcterms:modified>
</cp:coreProperties>
</file>